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\\pusehf0r.pwus.us\mme_grp\NDE\NDE Job Log\NDE Applications\Multi-platform Technology\PM Ni\PM Ni Industrialization Files\V2500\T2\"/>
    </mc:Choice>
  </mc:AlternateContent>
  <xr:revisionPtr revIDLastSave="0" documentId="13_ncr:1_{F0E80D3D-46F2-4DDE-BBE6-BB32902209F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L20" i="1"/>
  <c r="L19" i="1"/>
  <c r="K19" i="1"/>
  <c r="K20" i="1"/>
  <c r="K21" i="1"/>
  <c r="K18" i="1"/>
  <c r="H19" i="1"/>
  <c r="H18" i="1"/>
  <c r="G19" i="1"/>
  <c r="G18" i="1"/>
  <c r="H7" i="1"/>
  <c r="H6" i="1"/>
  <c r="D7" i="1"/>
  <c r="D6" i="1"/>
  <c r="C7" i="1"/>
  <c r="C6" i="1"/>
</calcChain>
</file>

<file path=xl/sharedStrings.xml><?xml version="1.0" encoding="utf-8"?>
<sst xmlns="http://schemas.openxmlformats.org/spreadsheetml/2006/main" count="31" uniqueCount="11">
  <si>
    <t>Vdepth (inches)</t>
  </si>
  <si>
    <t>Position</t>
  </si>
  <si>
    <t>Start</t>
  </si>
  <si>
    <t>Stop</t>
  </si>
  <si>
    <t>Surface K</t>
  </si>
  <si>
    <t>Surface L</t>
  </si>
  <si>
    <t>Surface M</t>
  </si>
  <si>
    <t>Surface N</t>
  </si>
  <si>
    <t>Surface O</t>
  </si>
  <si>
    <t>Surface P</t>
  </si>
  <si>
    <t>Too much noise, do not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</si>
</sst>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2</xdr:row>
      <xdr:rowOff>0</xdr:rowOff>
    </xdr:from>
    <xdr:to>
      <xdr:col>23</xdr:col>
      <xdr:colOff>265981</xdr:colOff>
      <xdr:row>35</xdr:row>
      <xdr:rowOff>123024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96F42A-F80A-91C2-66EF-1FFF3F1F1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381000"/>
          <a:ext cx="5752381" cy="6409524"/>
        </a:xfrm>
        <a:prstGeom prst="rect">
          <a:avLst/>
        </a:prstGeom>
      </xdr:spPr>
    </xdr:pic>
    <xdr:clientData/>
  </xdr:twoCellAnchor>
  <xdr:twoCellAnchor>
    <xdr:from>
      <xdr:col>15</xdr:col>
      <xdr:colOff>200025</xdr:colOff>
      <xdr:row>7</xdr:row>
      <xdr:rowOff>57150</xdr:rowOff>
    </xdr:from>
    <xdr:to>
      <xdr:col>15</xdr:col>
      <xdr:colOff>200025</xdr:colOff>
      <xdr:row>14</xdr:row>
      <xdr:rowOff>114300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EE6619E-66B5-F193-F064-CA194630FCBD}"/>
            </a:ext>
          </a:extLst>
        </xdr:cNvPr>
        <xdr:cNvCxnSpPr/>
      </xdr:nvCxnSpPr>
      <xdr:spPr>
        <a:xfrm flipV="1">
          <a:off x="9344025" y="1390650"/>
          <a:ext cx="0" cy="1390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85725</xdr:colOff>
      <xdr:row>3</xdr:row>
      <xdr:rowOff>28575</xdr:rowOff>
    </xdr:from>
    <xdr:to>
      <xdr:col>18</xdr:col>
      <xdr:colOff>161925</xdr:colOff>
      <xdr:row>6</xdr:row>
      <xdr:rowOff>47625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3EE8F215-4081-5CC9-834D-5D2B13838FC8}"/>
            </a:ext>
          </a:extLst>
        </xdr:cNvPr>
        <xdr:cNvCxnSpPr/>
      </xdr:nvCxnSpPr>
      <xdr:spPr>
        <a:xfrm flipH="1" flipV="1">
          <a:off x="10448925" y="600075"/>
          <a:ext cx="685800" cy="590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457200</xdr:colOff>
      <xdr:row>2</xdr:row>
      <xdr:rowOff>76200</xdr:rowOff>
    </xdr:from>
    <xdr:to>
      <xdr:col>16</xdr:col>
      <xdr:colOff>333375</xdr:colOff>
      <xdr:row>2</xdr:row>
      <xdr:rowOff>76200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8238B63-BBCF-FCBB-7E87-0D8621A3CC31}"/>
            </a:ext>
          </a:extLst>
        </xdr:cNvPr>
        <xdr:cNvCxnSpPr/>
      </xdr:nvCxnSpPr>
      <xdr:spPr>
        <a:xfrm flipH="1">
          <a:off x="9601200" y="457200"/>
          <a:ext cx="4857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409575</xdr:colOff>
      <xdr:row>12</xdr:row>
      <xdr:rowOff>180975</xdr:rowOff>
    </xdr:from>
    <xdr:to>
      <xdr:col>18</xdr:col>
      <xdr:colOff>381000</xdr:colOff>
      <xdr:row>17</xdr:row>
      <xdr:rowOff>19050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C46FC330-B031-122D-C1D3-5747EBD0E7FA}"/>
            </a:ext>
          </a:extLst>
        </xdr:cNvPr>
        <xdr:cNvCxnSpPr/>
      </xdr:nvCxnSpPr>
      <xdr:spPr>
        <a:xfrm flipH="1">
          <a:off x="10163175" y="2466975"/>
          <a:ext cx="1190625" cy="790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23"/>
  <sheetViews>
    <sheetView tabSelected="1" workbookViewId="0">
      <selection activeCell="AB17" sqref="AB17"/>
    </sheetView>
  </sheetViews>
  <sheetFormatPr defaultRowHeight="15" x14ac:dyDescent="0.25"/>
  <sheetData>
    <row r="3" spans="2:12" x14ac:dyDescent="0.25">
      <c r="B3" s="5" t="s">
        <v>4</v>
      </c>
      <c r="C3" s="5"/>
      <c r="D3" s="5"/>
      <c r="F3" s="5" t="s">
        <v>5</v>
      </c>
      <c r="G3" s="5"/>
      <c r="H3" s="5"/>
      <c r="J3" s="5" t="s">
        <v>6</v>
      </c>
      <c r="K3" s="5"/>
      <c r="L3" s="5"/>
    </row>
    <row r="4" spans="2:12" x14ac:dyDescent="0.25">
      <c r="B4" s="5" t="s">
        <v>0</v>
      </c>
      <c r="C4" s="5"/>
      <c r="D4" s="5"/>
      <c r="F4" s="5" t="s">
        <v>0</v>
      </c>
      <c r="G4" s="5"/>
      <c r="H4" s="5"/>
      <c r="J4" s="5" t="s">
        <v>0</v>
      </c>
      <c r="K4" s="5"/>
      <c r="L4" s="5"/>
    </row>
    <row r="5" spans="2:12" x14ac:dyDescent="0.25">
      <c r="B5" s="1" t="s">
        <v>1</v>
      </c>
      <c r="C5" s="1" t="s">
        <v>2</v>
      </c>
      <c r="D5" s="1" t="s">
        <v>3</v>
      </c>
      <c r="F5" s="1" t="s">
        <v>1</v>
      </c>
      <c r="G5" s="1" t="s">
        <v>2</v>
      </c>
      <c r="H5" s="1" t="s">
        <v>3</v>
      </c>
      <c r="J5" s="1" t="s">
        <v>1</v>
      </c>
      <c r="K5" s="1" t="s">
        <v>2</v>
      </c>
      <c r="L5" s="1" t="s">
        <v>3</v>
      </c>
    </row>
    <row r="6" spans="2:12" x14ac:dyDescent="0.25">
      <c r="B6" s="2">
        <v>0.84</v>
      </c>
      <c r="C6" s="2">
        <f>0.7/SQRT(2)</f>
        <v>0.49497474683058318</v>
      </c>
      <c r="D6" s="2">
        <f>0.9/SQRT(2)</f>
        <v>0.63639610306789274</v>
      </c>
      <c r="E6" s="2"/>
      <c r="F6" s="2">
        <v>0</v>
      </c>
      <c r="G6" s="2">
        <v>0.35399999999999998</v>
      </c>
      <c r="H6" s="2">
        <f>3.54/SQRT(2)</f>
        <v>2.5031580054003779</v>
      </c>
      <c r="I6" s="2"/>
      <c r="J6" s="2">
        <v>0</v>
      </c>
      <c r="K6" s="2">
        <v>0.35399999999999998</v>
      </c>
      <c r="L6" s="2">
        <v>0.70699999999999996</v>
      </c>
    </row>
    <row r="7" spans="2:12" x14ac:dyDescent="0.25">
      <c r="B7" s="2">
        <f>B6+1.4</f>
        <v>2.2399999999999998</v>
      </c>
      <c r="C7" s="2">
        <f>0.7/SQRT(2)</f>
        <v>0.49497474683058318</v>
      </c>
      <c r="D7" s="2">
        <f>3.54/SQRT(2)</f>
        <v>2.5031580054003779</v>
      </c>
      <c r="E7" s="2"/>
      <c r="F7" s="2">
        <v>1</v>
      </c>
      <c r="G7" s="2">
        <v>0.35399999999999998</v>
      </c>
      <c r="H7" s="2">
        <f>3/SQRT(2)</f>
        <v>2.1213203435596424</v>
      </c>
      <c r="I7" s="2"/>
      <c r="J7" s="2">
        <v>2</v>
      </c>
      <c r="K7" s="2">
        <v>0.35399999999999998</v>
      </c>
      <c r="L7" s="2">
        <v>2.121</v>
      </c>
    </row>
    <row r="8" spans="2:12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2:12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2:12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2:12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2:12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2:12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2:12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2:12" x14ac:dyDescent="0.25">
      <c r="B15" s="4" t="s">
        <v>7</v>
      </c>
      <c r="C15" s="4"/>
      <c r="D15" s="4"/>
      <c r="E15" s="2"/>
      <c r="F15" s="4" t="s">
        <v>8</v>
      </c>
      <c r="G15" s="4"/>
      <c r="H15" s="4"/>
      <c r="I15" s="2"/>
      <c r="J15" s="4" t="s">
        <v>9</v>
      </c>
      <c r="K15" s="4"/>
      <c r="L15" s="4"/>
    </row>
    <row r="16" spans="2:12" x14ac:dyDescent="0.25">
      <c r="B16" s="4" t="s">
        <v>0</v>
      </c>
      <c r="C16" s="4"/>
      <c r="D16" s="4"/>
      <c r="E16" s="2"/>
      <c r="F16" s="4" t="s">
        <v>0</v>
      </c>
      <c r="G16" s="4"/>
      <c r="H16" s="4"/>
      <c r="I16" s="2"/>
      <c r="J16" s="4" t="s">
        <v>0</v>
      </c>
      <c r="K16" s="4"/>
      <c r="L16" s="4"/>
    </row>
    <row r="17" spans="2:12" x14ac:dyDescent="0.25">
      <c r="B17" s="3" t="s">
        <v>1</v>
      </c>
      <c r="C17" s="3" t="s">
        <v>2</v>
      </c>
      <c r="D17" s="3" t="s">
        <v>3</v>
      </c>
      <c r="E17" s="2"/>
      <c r="F17" s="3" t="s">
        <v>1</v>
      </c>
      <c r="G17" s="3" t="s">
        <v>2</v>
      </c>
      <c r="H17" s="3" t="s">
        <v>3</v>
      </c>
      <c r="I17" s="2"/>
      <c r="J17" s="3" t="s">
        <v>1</v>
      </c>
      <c r="K17" s="3" t="s">
        <v>2</v>
      </c>
      <c r="L17" s="3" t="s">
        <v>3</v>
      </c>
    </row>
    <row r="18" spans="2:12" x14ac:dyDescent="0.25">
      <c r="B18" s="4" t="s">
        <v>10</v>
      </c>
      <c r="C18" s="4"/>
      <c r="D18" s="4"/>
      <c r="E18" s="2"/>
      <c r="F18" s="2">
        <v>0</v>
      </c>
      <c r="G18" s="2">
        <f>0.75/SQRT(2)</f>
        <v>0.5303300858899106</v>
      </c>
      <c r="H18" s="2">
        <f>3.125/SQRT(2)</f>
        <v>2.2097086912079607</v>
      </c>
      <c r="I18" s="2"/>
      <c r="J18" s="2">
        <v>0.05</v>
      </c>
      <c r="K18" s="2">
        <f>0.17/SQRT(2)</f>
        <v>0.12020815280171308</v>
      </c>
      <c r="L18" s="2">
        <v>0.70699999999999996</v>
      </c>
    </row>
    <row r="19" spans="2:12" x14ac:dyDescent="0.25">
      <c r="B19" s="4"/>
      <c r="C19" s="4"/>
      <c r="D19" s="4"/>
      <c r="E19" s="2"/>
      <c r="F19" s="2">
        <v>0.46</v>
      </c>
      <c r="G19" s="2">
        <f>0.75/SQRT(2)</f>
        <v>0.5303300858899106</v>
      </c>
      <c r="H19" s="2">
        <f>3.125/SQRT(2)</f>
        <v>2.2097086912079607</v>
      </c>
      <c r="I19" s="2"/>
      <c r="J19" s="2">
        <v>1</v>
      </c>
      <c r="K19" s="2">
        <f t="shared" ref="K19:K21" si="0">0.17/SQRT(2)</f>
        <v>0.12020815280171308</v>
      </c>
      <c r="L19" s="2">
        <f>2.5/SQRT(2)</f>
        <v>1.7677669529663687</v>
      </c>
    </row>
    <row r="20" spans="2:12" x14ac:dyDescent="0.25">
      <c r="B20" s="2"/>
      <c r="C20" s="2"/>
      <c r="D20" s="2"/>
      <c r="E20" s="2"/>
      <c r="F20" s="2"/>
      <c r="G20" s="2"/>
      <c r="H20" s="2"/>
      <c r="I20" s="2"/>
      <c r="J20" s="2">
        <v>1.7</v>
      </c>
      <c r="K20" s="2">
        <f t="shared" si="0"/>
        <v>0.12020815280171308</v>
      </c>
      <c r="L20" s="2">
        <f>2.5/SQRT(2)</f>
        <v>1.7677669529663687</v>
      </c>
    </row>
    <row r="21" spans="2:12" x14ac:dyDescent="0.25">
      <c r="B21" s="2"/>
      <c r="C21" s="2"/>
      <c r="D21" s="2"/>
      <c r="E21" s="2"/>
      <c r="F21" s="2"/>
      <c r="G21" s="2"/>
      <c r="H21" s="2"/>
      <c r="I21" s="2"/>
      <c r="J21" s="2">
        <v>2.5</v>
      </c>
      <c r="K21" s="2">
        <f t="shared" si="0"/>
        <v>0.12020815280171308</v>
      </c>
      <c r="L21" s="2">
        <v>0.70699999999999996</v>
      </c>
    </row>
    <row r="22" spans="2:12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2:12" x14ac:dyDescent="0.25">
      <c r="K23" s="2"/>
    </row>
  </sheetData>
  <mergeCells count="13">
    <mergeCell ref="B18:D19"/>
    <mergeCell ref="B15:D15"/>
    <mergeCell ref="B16:D16"/>
    <mergeCell ref="F15:H15"/>
    <mergeCell ref="F16:H16"/>
    <mergeCell ref="J15:L15"/>
    <mergeCell ref="J16:L16"/>
    <mergeCell ref="B3:D3"/>
    <mergeCell ref="B4:D4"/>
    <mergeCell ref="F3:H3"/>
    <mergeCell ref="F4:H4"/>
    <mergeCell ref="J3:L3"/>
    <mergeCell ref="J4:L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504177304F24299743683BFAE7DFB" ma:contentTypeVersion="16" ma:contentTypeDescription="Create a new document." ma:contentTypeScope="" ma:versionID="8d2e045e9b3db7c038aa481d2f9a4c23">
  <xsd:schema xmlns:xsd="http://www.w3.org/2001/XMLSchema" xmlns:xs="http://www.w3.org/2001/XMLSchema" xmlns:p="http://schemas.microsoft.com/office/2006/metadata/properties" xmlns:ns2="dec40c06-ca33-47c9-8d4f-9e368476fb81" xmlns:ns3="0e3c6d35-f584-4bb9-9814-efff94f6277c" targetNamespace="http://schemas.microsoft.com/office/2006/metadata/properties" ma:root="true" ma:fieldsID="954e83dd2af54efd67ec30fbd95456c6" ns2:_="" ns3:_="">
    <xsd:import namespace="dec40c06-ca33-47c9-8d4f-9e368476fb81"/>
    <xsd:import namespace="0e3c6d35-f584-4bb9-9814-efff94f627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c40c06-ca33-47c9-8d4f-9e368476fb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c42ea80-1540-4b6b-975c-71c0868ade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c6d35-f584-4bb9-9814-efff94f627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658f2df7-805e-4589-92df-a62ba07a927f}" ma:internalName="TaxCatchAll" ma:showField="CatchAllData" ma:web="0e3c6d35-f584-4bb9-9814-efff94f627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ec40c06-ca33-47c9-8d4f-9e368476fb81">
      <Terms xmlns="http://schemas.microsoft.com/office/infopath/2007/PartnerControls"/>
    </lcf76f155ced4ddcb4097134ff3c332f>
    <TaxCatchAll xmlns="0e3c6d35-f584-4bb9-9814-efff94f6277c" xsi:nil="true"/>
  </documentManagement>
</p:properties>
</file>

<file path=customXml/itemProps1.xml><?xml version="1.0" encoding="utf-8"?>
<ds:datastoreItem xmlns:ds="http://schemas.openxmlformats.org/officeDocument/2006/customXml" ds:itemID="{3F8FCAA7-C040-43CB-B5FF-71C6F683F675}"/>
</file>

<file path=customXml/itemProps2.xml><?xml version="1.0" encoding="utf-8"?>
<ds:datastoreItem xmlns:ds="http://schemas.openxmlformats.org/officeDocument/2006/customXml" ds:itemID="{3FDF5F77-47F0-4D32-80E9-158A01464169}"/>
</file>

<file path=customXml/itemProps3.xml><?xml version="1.0" encoding="utf-8"?>
<ds:datastoreItem xmlns:ds="http://schemas.openxmlformats.org/officeDocument/2006/customXml" ds:itemID="{12B2673D-F275-4C02-B2F2-92A7C6E21543}"/>
</file>

<file path=docMetadata/LabelInfo.xml><?xml version="1.0" encoding="utf-8"?>
<clbl:labelList xmlns:clbl="http://schemas.microsoft.com/office/2020/mipLabelMetadata">
  <clbl:label id="{00cd8555-d9a6-4d22-9d35-5b828cbc07ae}" enabled="1" method="Privileged" siteId="{7a18110d-ef9b-4274-acef-e62ab0fe28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Adhy                            PW</dc:creator>
  <cp:lastModifiedBy>Kumar, Adhy (USA)</cp:lastModifiedBy>
  <dcterms:created xsi:type="dcterms:W3CDTF">2015-06-05T18:17:20Z</dcterms:created>
  <dcterms:modified xsi:type="dcterms:W3CDTF">2025-02-25T15:34:39Z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4bd1cc8e-3c19-450b-b0a4-a247a1d21246</vt:lpwstr>
  </property>
  <property fmtid="{D5CDD505-2E9C-101B-9397-08002B2CF9AE}" pid="3" name="ContentTypeId">
    <vt:lpwstr>0x010100928504177304F24299743683BFAE7DFB</vt:lpwstr>
  </property>
</Properties>
</file>