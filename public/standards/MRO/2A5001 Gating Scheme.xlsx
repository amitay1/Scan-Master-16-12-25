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pusehf0r.pwus.us\mme_grp\NDE\NDE Job Log\NDE Applications\Multi-platform Technology\PM Ni\PM Ni Industrialization Files\V2500\T1\"/>
    </mc:Choice>
  </mc:AlternateContent>
  <xr:revisionPtr revIDLastSave="0" documentId="13_ncr:1_{325F942E-3751-417A-B5D0-DA52D1E0DF3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D20" i="1"/>
  <c r="D19" i="1"/>
  <c r="D18" i="1"/>
  <c r="K7" i="1"/>
  <c r="K8" i="1"/>
  <c r="K6" i="1"/>
  <c r="L8" i="1"/>
  <c r="L7" i="1"/>
  <c r="L6" i="1"/>
  <c r="G7" i="1"/>
  <c r="G6" i="1"/>
  <c r="H6" i="1"/>
  <c r="H7" i="1"/>
</calcChain>
</file>

<file path=xl/sharedStrings.xml><?xml version="1.0" encoding="utf-8"?>
<sst xmlns="http://schemas.openxmlformats.org/spreadsheetml/2006/main" count="25" uniqueCount="9">
  <si>
    <t>Vdepth (inches)</t>
  </si>
  <si>
    <t>Position</t>
  </si>
  <si>
    <t>Start</t>
  </si>
  <si>
    <t>Stop</t>
  </si>
  <si>
    <t>Surface A</t>
  </si>
  <si>
    <t>Surface B</t>
  </si>
  <si>
    <t>Surface C</t>
  </si>
  <si>
    <t>Surface D</t>
  </si>
  <si>
    <t>Surface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</si>
</sst>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142875</xdr:colOff>
      <xdr:row>1</xdr:row>
      <xdr:rowOff>124427</xdr:rowOff>
    </xdr:from>
    <xdr:to>
      <xdr:col>23</xdr:col>
      <xdr:colOff>408856</xdr:colOff>
      <xdr:row>31</xdr:row>
      <xdr:rowOff>74796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6F42A-F80A-91C2-66EF-1FFF3F1F1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77275" y="314927"/>
          <a:ext cx="5752381" cy="5665369"/>
        </a:xfrm>
        <a:prstGeom prst="rect">
          <a:avLst/>
        </a:prstGeom>
      </xdr:spPr>
    </xdr:pic>
    <xdr:clientData/>
  </xdr:twoCellAnchor>
  <xdr:twoCellAnchor>
    <xdr:from>
      <xdr:col>15</xdr:col>
      <xdr:colOff>200025</xdr:colOff>
      <xdr:row>7</xdr:row>
      <xdr:rowOff>57150</xdr:rowOff>
    </xdr:from>
    <xdr:to>
      <xdr:col>15</xdr:col>
      <xdr:colOff>200025</xdr:colOff>
      <xdr:row>14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EE6619E-66B5-F193-F064-CA194630FCBD}"/>
            </a:ext>
          </a:extLst>
        </xdr:cNvPr>
        <xdr:cNvCxnSpPr/>
      </xdr:nvCxnSpPr>
      <xdr:spPr>
        <a:xfrm flipV="1">
          <a:off x="9344025" y="1390650"/>
          <a:ext cx="0" cy="139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533400</xdr:colOff>
      <xdr:row>2</xdr:row>
      <xdr:rowOff>180975</xdr:rowOff>
    </xdr:from>
    <xdr:to>
      <xdr:col>18</xdr:col>
      <xdr:colOff>257175</xdr:colOff>
      <xdr:row>6</xdr:row>
      <xdr:rowOff>133350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EE8F215-4081-5CC9-834D-5D2B13838FC8}"/>
            </a:ext>
          </a:extLst>
        </xdr:cNvPr>
        <xdr:cNvCxnSpPr/>
      </xdr:nvCxnSpPr>
      <xdr:spPr>
        <a:xfrm>
          <a:off x="10287000" y="561975"/>
          <a:ext cx="942975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542925</xdr:colOff>
      <xdr:row>2</xdr:row>
      <xdr:rowOff>85725</xdr:rowOff>
    </xdr:from>
    <xdr:to>
      <xdr:col>16</xdr:col>
      <xdr:colOff>419100</xdr:colOff>
      <xdr:row>2</xdr:row>
      <xdr:rowOff>85725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8238B63-BBCF-FCBB-7E87-0D8621A3CC31}"/>
            </a:ext>
          </a:extLst>
        </xdr:cNvPr>
        <xdr:cNvCxnSpPr/>
      </xdr:nvCxnSpPr>
      <xdr:spPr>
        <a:xfrm>
          <a:off x="9686925" y="466725"/>
          <a:ext cx="485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161925</xdr:colOff>
      <xdr:row>2</xdr:row>
      <xdr:rowOff>171450</xdr:rowOff>
    </xdr:from>
    <xdr:to>
      <xdr:col>15</xdr:col>
      <xdr:colOff>400050</xdr:colOff>
      <xdr:row>4</xdr:row>
      <xdr:rowOff>142875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DC5E33E-4191-40DF-8DD7-D2C47802AB09}"/>
            </a:ext>
          </a:extLst>
        </xdr:cNvPr>
        <xdr:cNvCxnSpPr/>
      </xdr:nvCxnSpPr>
      <xdr:spPr>
        <a:xfrm flipV="1">
          <a:off x="9305925" y="552450"/>
          <a:ext cx="2381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3"/>
  <sheetViews>
    <sheetView tabSelected="1" workbookViewId="0">
      <selection activeCell="M11" sqref="M11"/>
    </sheetView>
  </sheetViews>
  <sheetFormatPr defaultRowHeight="15" x14ac:dyDescent="0.25"/>
  <sheetData>
    <row r="3" spans="2:12" x14ac:dyDescent="0.25">
      <c r="B3" s="5" t="s">
        <v>4</v>
      </c>
      <c r="C3" s="5"/>
      <c r="D3" s="5"/>
      <c r="F3" s="5" t="s">
        <v>5</v>
      </c>
      <c r="G3" s="5"/>
      <c r="H3" s="5"/>
      <c r="J3" s="5" t="s">
        <v>6</v>
      </c>
      <c r="K3" s="5"/>
      <c r="L3" s="5"/>
    </row>
    <row r="4" spans="2:12" x14ac:dyDescent="0.25">
      <c r="B4" s="5" t="s">
        <v>0</v>
      </c>
      <c r="C4" s="5"/>
      <c r="D4" s="5"/>
      <c r="F4" s="5" t="s">
        <v>0</v>
      </c>
      <c r="G4" s="5"/>
      <c r="H4" s="5"/>
      <c r="J4" s="5" t="s">
        <v>0</v>
      </c>
      <c r="K4" s="5"/>
      <c r="L4" s="5"/>
    </row>
    <row r="5" spans="2:12" x14ac:dyDescent="0.25">
      <c r="B5" s="1" t="s">
        <v>1</v>
      </c>
      <c r="C5" s="1" t="s">
        <v>2</v>
      </c>
      <c r="D5" s="1" t="s">
        <v>3</v>
      </c>
      <c r="F5" s="1" t="s">
        <v>1</v>
      </c>
      <c r="G5" s="1" t="s">
        <v>2</v>
      </c>
      <c r="H5" s="1" t="s">
        <v>3</v>
      </c>
      <c r="J5" s="1" t="s">
        <v>1</v>
      </c>
      <c r="K5" s="1" t="s">
        <v>2</v>
      </c>
      <c r="L5" s="1" t="s">
        <v>3</v>
      </c>
    </row>
    <row r="6" spans="2:12" x14ac:dyDescent="0.25">
      <c r="B6" s="2">
        <v>0.1</v>
      </c>
      <c r="C6" s="2">
        <v>0.12</v>
      </c>
      <c r="D6" s="2">
        <v>1.4139999999999999</v>
      </c>
      <c r="E6" s="2"/>
      <c r="F6" s="2">
        <v>0</v>
      </c>
      <c r="G6" s="2">
        <f>0.75/SQRT(2)</f>
        <v>0.5303300858899106</v>
      </c>
      <c r="H6" s="2">
        <f>3.3/SQRT(2)</f>
        <v>2.3334523779156067</v>
      </c>
      <c r="I6" s="2"/>
      <c r="J6" s="2">
        <v>0</v>
      </c>
      <c r="K6" s="2">
        <f>0.7/SQRT(2)</f>
        <v>0.49497474683058318</v>
      </c>
      <c r="L6" s="2">
        <f>2.3/SQRT(2)</f>
        <v>1.626345596729059</v>
      </c>
    </row>
    <row r="7" spans="2:12" x14ac:dyDescent="0.25">
      <c r="B7" s="2">
        <v>1.06</v>
      </c>
      <c r="C7" s="2">
        <v>0.12</v>
      </c>
      <c r="D7" s="2">
        <v>1.4139999999999999</v>
      </c>
      <c r="E7" s="2"/>
      <c r="F7" s="2">
        <v>0.45</v>
      </c>
      <c r="G7" s="2">
        <f>0.75/SQRT(2)</f>
        <v>0.5303300858899106</v>
      </c>
      <c r="H7" s="2">
        <f>3.3/SQRT(2)</f>
        <v>2.3334523779156067</v>
      </c>
      <c r="I7" s="2"/>
      <c r="J7" s="2">
        <v>0.13</v>
      </c>
      <c r="K7" s="2">
        <f t="shared" ref="K7:K8" si="0">0.7/SQRT(2)</f>
        <v>0.49497474683058318</v>
      </c>
      <c r="L7" s="2">
        <f>2.3/SQRT(2)</f>
        <v>1.626345596729059</v>
      </c>
    </row>
    <row r="8" spans="2:12" x14ac:dyDescent="0.25">
      <c r="B8" s="2"/>
      <c r="C8" s="2"/>
      <c r="D8" s="2"/>
      <c r="E8" s="2"/>
      <c r="F8" s="2"/>
      <c r="G8" s="2"/>
      <c r="H8" s="2"/>
      <c r="I8" s="2"/>
      <c r="J8" s="2">
        <v>0.33500000000000002</v>
      </c>
      <c r="K8" s="2">
        <f t="shared" si="0"/>
        <v>0.49497474683058318</v>
      </c>
      <c r="L8" s="2">
        <f>1.85/SQRT(2)</f>
        <v>1.308147545195113</v>
      </c>
    </row>
    <row r="9" spans="2:12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2:12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2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2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2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x14ac:dyDescent="0.25">
      <c r="B15" s="4" t="s">
        <v>7</v>
      </c>
      <c r="C15" s="4"/>
      <c r="D15" s="4"/>
      <c r="E15" s="2"/>
      <c r="F15" s="4" t="s">
        <v>8</v>
      </c>
      <c r="G15" s="4"/>
      <c r="H15" s="4"/>
      <c r="I15" s="2"/>
      <c r="J15" s="6"/>
      <c r="K15" s="6"/>
      <c r="L15" s="6"/>
    </row>
    <row r="16" spans="2:12" x14ac:dyDescent="0.25">
      <c r="B16" s="4" t="s">
        <v>0</v>
      </c>
      <c r="C16" s="4"/>
      <c r="D16" s="4"/>
      <c r="E16" s="2"/>
      <c r="F16" s="4" t="s">
        <v>0</v>
      </c>
      <c r="G16" s="4"/>
      <c r="H16" s="4"/>
      <c r="I16" s="2"/>
      <c r="J16" s="6"/>
      <c r="K16" s="6"/>
      <c r="L16" s="6"/>
    </row>
    <row r="17" spans="2:12" x14ac:dyDescent="0.25">
      <c r="B17" s="3" t="s">
        <v>1</v>
      </c>
      <c r="C17" s="3" t="s">
        <v>2</v>
      </c>
      <c r="D17" s="3" t="s">
        <v>3</v>
      </c>
      <c r="E17" s="2"/>
      <c r="F17" s="3" t="s">
        <v>1</v>
      </c>
      <c r="G17" s="3" t="s">
        <v>2</v>
      </c>
      <c r="H17" s="3" t="s">
        <v>3</v>
      </c>
      <c r="I17" s="2"/>
      <c r="J17" s="3"/>
      <c r="K17" s="3"/>
      <c r="L17" s="3"/>
    </row>
    <row r="18" spans="2:12" x14ac:dyDescent="0.25">
      <c r="B18" s="6">
        <v>0.1</v>
      </c>
      <c r="C18" s="6">
        <v>0.12</v>
      </c>
      <c r="D18" s="6">
        <f>0.8/SQRT(2)</f>
        <v>0.56568542494923801</v>
      </c>
      <c r="E18" s="2"/>
      <c r="F18" s="2">
        <v>0</v>
      </c>
      <c r="G18" s="2">
        <v>0.12</v>
      </c>
      <c r="H18" s="2">
        <v>1.4139999999999999</v>
      </c>
      <c r="I18" s="2"/>
      <c r="J18" s="2"/>
      <c r="K18" s="2"/>
      <c r="L18" s="2"/>
    </row>
    <row r="19" spans="2:12" x14ac:dyDescent="0.25">
      <c r="B19" s="6">
        <v>1.2</v>
      </c>
      <c r="C19" s="6">
        <v>0.12</v>
      </c>
      <c r="D19" s="6">
        <f>2/SQRT(2)</f>
        <v>1.4142135623730949</v>
      </c>
      <c r="E19" s="2"/>
      <c r="F19" s="2">
        <v>0.5</v>
      </c>
      <c r="G19" s="2">
        <v>0.12</v>
      </c>
      <c r="H19" s="2">
        <f>1.6/SQRT(2)</f>
        <v>1.131370849898476</v>
      </c>
      <c r="I19" s="2"/>
      <c r="J19" s="2"/>
      <c r="K19" s="2"/>
      <c r="L19" s="2"/>
    </row>
    <row r="20" spans="2:12" x14ac:dyDescent="0.25">
      <c r="B20" s="2">
        <v>2.2999999999999998</v>
      </c>
      <c r="C20" s="6">
        <v>0.12</v>
      </c>
      <c r="D20" s="6">
        <f>1.7/SQRT(2)</f>
        <v>1.2020815280171306</v>
      </c>
      <c r="E20" s="2"/>
      <c r="F20" s="2"/>
      <c r="G20" s="2"/>
      <c r="H20" s="2"/>
      <c r="I20" s="2"/>
      <c r="J20" s="2"/>
      <c r="K20" s="2"/>
      <c r="L20" s="2"/>
    </row>
    <row r="21" spans="2:1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5">
      <c r="K23" s="2"/>
    </row>
  </sheetData>
  <mergeCells count="10">
    <mergeCell ref="B3:D3"/>
    <mergeCell ref="B4:D4"/>
    <mergeCell ref="F3:H3"/>
    <mergeCell ref="F4:H4"/>
    <mergeCell ref="J3:L3"/>
    <mergeCell ref="J4:L4"/>
    <mergeCell ref="B15:D15"/>
    <mergeCell ref="B16:D16"/>
    <mergeCell ref="F15:H15"/>
    <mergeCell ref="F16:H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504177304F24299743683BFAE7DFB" ma:contentTypeVersion="16" ma:contentTypeDescription="Create a new document." ma:contentTypeScope="" ma:versionID="8d2e045e9b3db7c038aa481d2f9a4c23">
  <xsd:schema xmlns:xsd="http://www.w3.org/2001/XMLSchema" xmlns:xs="http://www.w3.org/2001/XMLSchema" xmlns:p="http://schemas.microsoft.com/office/2006/metadata/properties" xmlns:ns2="dec40c06-ca33-47c9-8d4f-9e368476fb81" xmlns:ns3="0e3c6d35-f584-4bb9-9814-efff94f6277c" targetNamespace="http://schemas.microsoft.com/office/2006/metadata/properties" ma:root="true" ma:fieldsID="954e83dd2af54efd67ec30fbd95456c6" ns2:_="" ns3:_="">
    <xsd:import namespace="dec40c06-ca33-47c9-8d4f-9e368476fb81"/>
    <xsd:import namespace="0e3c6d35-f584-4bb9-9814-efff94f62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40c06-ca33-47c9-8d4f-9e368476fb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c42ea80-1540-4b6b-975c-71c0868ade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c6d35-f584-4bb9-9814-efff94f62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58f2df7-805e-4589-92df-a62ba07a927f}" ma:internalName="TaxCatchAll" ma:showField="CatchAllData" ma:web="0e3c6d35-f584-4bb9-9814-efff94f62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c40c06-ca33-47c9-8d4f-9e368476fb81">
      <Terms xmlns="http://schemas.microsoft.com/office/infopath/2007/PartnerControls"/>
    </lcf76f155ced4ddcb4097134ff3c332f>
    <TaxCatchAll xmlns="0e3c6d35-f584-4bb9-9814-efff94f6277c" xsi:nil="true"/>
  </documentManagement>
</p:properties>
</file>

<file path=customXml/itemProps1.xml><?xml version="1.0" encoding="utf-8"?>
<ds:datastoreItem xmlns:ds="http://schemas.openxmlformats.org/officeDocument/2006/customXml" ds:itemID="{AF646401-5C29-4A47-913E-E6B796513861}"/>
</file>

<file path=customXml/itemProps2.xml><?xml version="1.0" encoding="utf-8"?>
<ds:datastoreItem xmlns:ds="http://schemas.openxmlformats.org/officeDocument/2006/customXml" ds:itemID="{E2AD327E-9D0E-4E0F-8512-763650735436}"/>
</file>

<file path=customXml/itemProps3.xml><?xml version="1.0" encoding="utf-8"?>
<ds:datastoreItem xmlns:ds="http://schemas.openxmlformats.org/officeDocument/2006/customXml" ds:itemID="{BE949E02-C022-4AA7-B330-966A15EB98B6}"/>
</file>

<file path=docMetadata/LabelInfo.xml><?xml version="1.0" encoding="utf-8"?>
<clbl:labelList xmlns:clbl="http://schemas.microsoft.com/office/2020/mipLabelMetadata">
  <clbl:label id="{00cd8555-d9a6-4d22-9d35-5b828cbc07ae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Adhy                            PW</dc:creator>
  <cp:lastModifiedBy>Kumar, Adhy (USA)</cp:lastModifiedBy>
  <dcterms:created xsi:type="dcterms:W3CDTF">2015-06-05T18:17:20Z</dcterms:created>
  <dcterms:modified xsi:type="dcterms:W3CDTF">2025-02-17T16:39:30Z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4bd1cc8e-3c19-450b-b0a4-a247a1d21246</vt:lpwstr>
  </property>
  <property fmtid="{D5CDD505-2E9C-101B-9397-08002B2CF9AE}" pid="3" name="ContentTypeId">
    <vt:lpwstr>0x010100928504177304F24299743683BFAE7DFB</vt:lpwstr>
  </property>
</Properties>
</file>